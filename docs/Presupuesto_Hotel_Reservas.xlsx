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esupuesto" sheetId="1" state="visible" r:id="rId3"/>
    <sheet name="Resumen por etapa" sheetId="2" state="visible" r:id="rId4"/>
  </sheets>
  <definedNames>
    <definedName function="false" hidden="false" localSheetId="0" name="_xlnm.Print_Titles" vbProcedure="false">Presupuesto!$1:$6</definedName>
    <definedName function="false" hidden="true" localSheetId="0" name="_xlnm._FilterDatabase" vbProcedure="false">Presupuesto!$A$6:$G$31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<sst xmlns="http://schemas.openxmlformats.org/spreadsheetml/2006/main" count="86" uniqueCount="59">
  <si>
    <t xml:space="preserve">PRESUPUESTO DEL PROYECTO</t>
  </si>
  <si>
    <t xml:space="preserve">Nombre del proyecto:</t>
  </si>
  <si>
    <t xml:space="preserve">Hotel Reservas: sistema transaccional móvil (APK) para la gestión de reservas de habitaciones</t>
  </si>
  <si>
    <t xml:space="preserve">Responsable:</t>
  </si>
  <si>
    <t xml:space="preserve">Gustavo Adolfo Cardona Bayona (líder); Jonathan Soler Guevara; Hugo Andrés Forero Angel</t>
  </si>
  <si>
    <t xml:space="preserve">Fecha:</t>
  </si>
  <si>
    <t xml:space="preserve">Etapa</t>
  </si>
  <si>
    <t xml:space="preserve">Actividad / recurso</t>
  </si>
  <si>
    <t xml:space="preserve">Tipo de costo</t>
  </si>
  <si>
    <t xml:space="preserve">Cantidad</t>
  </si>
  <si>
    <t xml:space="preserve">Costo unitario (COP)</t>
  </si>
  <si>
    <t xml:space="preserve">Costo total (COP)</t>
  </si>
  <si>
    <t xml:space="preserve">Observaciones</t>
  </si>
  <si>
    <t xml:space="preserve">Planeación</t>
  </si>
  <si>
    <t xml:space="preserve">Horas de los integrantes: planeación y Actividad 4 (red neuronal, estado del arte, presupuesto, cronograma)</t>
  </si>
  <si>
    <t xml:space="preserve">Personal</t>
  </si>
  <si>
    <t xml:space="preserve">Aporte propio; valor hora de referencia de un desarrollador en formación, no se paga</t>
  </si>
  <si>
    <t xml:space="preserve">Diseño</t>
  </si>
  <si>
    <t xml:space="preserve">Horas de los integrantes: ajuste del modelo de datos (script 07) y diseño del servicio inteligente</t>
  </si>
  <si>
    <t xml:space="preserve">Aporte propio, no se paga</t>
  </si>
  <si>
    <t xml:space="preserve">Desarrollo / ejecución</t>
  </si>
  <si>
    <t xml:space="preserve">Horas de desarrollo: conexión app-API, administración, servicio inteligente, notificaciones</t>
  </si>
  <si>
    <t xml:space="preserve">Computadores portátiles de los integrantes</t>
  </si>
  <si>
    <t xml:space="preserve">Equipos</t>
  </si>
  <si>
    <t xml:space="preserve">Recurso propio ya disponible; valor de reposición de referencia, sin desembolso</t>
  </si>
  <si>
    <t xml:space="preserve">Teléfono Android para pruebas de la APK, WhatsApp y correo</t>
  </si>
  <si>
    <t xml:space="preserve">Recurso propio, sin desembolso</t>
  </si>
  <si>
    <t xml:space="preserve">Conexión a internet y energía (semanas por integrante)</t>
  </si>
  <si>
    <t xml:space="preserve">Servicios</t>
  </si>
  <si>
    <t xml:space="preserve">Servicios del hogar ya contratados, sin desembolso adicional</t>
  </si>
  <si>
    <t xml:space="preserve">Visual Studio 2022 Community, .NET 8, Android Studio, SQL Server 2022 Developer, SSMS, GitHub, Python, TensorFlow, FastAPI</t>
  </si>
  <si>
    <t xml:space="preserve">Software</t>
  </si>
  <si>
    <t xml:space="preserve">Herramientas gratuitas o con licencia académica</t>
  </si>
  <si>
    <t xml:space="preserve">Azure OpenAI Service para el asistente (pago por uso, dos meses de pruebas)</t>
  </si>
  <si>
    <t xml:space="preserve">Opcional: la API funciona con el intérprete de reglas sin este servicio</t>
  </si>
  <si>
    <t xml:space="preserve">Alojamiento en la nube de la API y la base de datos (plan básico, dos meses)</t>
  </si>
  <si>
    <t xml:space="preserve">Opcional: en la sustentación se ejecutan en el computador del equipo</t>
  </si>
  <si>
    <t xml:space="preserve">Pruebas / validación</t>
  </si>
  <si>
    <t xml:space="preserve">Horas de pruebas: aceptación de RNF, concurrencia, servicio inteligente</t>
  </si>
  <si>
    <t xml:space="preserve">Implementación</t>
  </si>
  <si>
    <t xml:space="preserve">Horas de implementación: APK firmada y despliegue local</t>
  </si>
  <si>
    <t xml:space="preserve">Cuenta de desarrollador de Google Play (pago único)</t>
  </si>
  <si>
    <t xml:space="preserve">Opcional: la APK se instala directamente; tarifa de referencia a octubre de 2026</t>
  </si>
  <si>
    <t xml:space="preserve">Cierre</t>
  </si>
  <si>
    <t xml:space="preserve">Impresión y empaste del documento final</t>
  </si>
  <si>
    <t xml:space="preserve">Materiales</t>
  </si>
  <si>
    <t xml:space="preserve">Desembolso real</t>
  </si>
  <si>
    <t xml:space="preserve">Transporte a la sustentación</t>
  </si>
  <si>
    <t xml:space="preserve">Transporte</t>
  </si>
  <si>
    <t xml:space="preserve">Subtotal:</t>
  </si>
  <si>
    <t xml:space="preserve">Imprevistos (%):</t>
  </si>
  <si>
    <t xml:space="preserve">Valor imprevistos:</t>
  </si>
  <si>
    <t xml:space="preserve">PRESUPUESTO TOTAL:</t>
  </si>
  <si>
    <t xml:space="preserve">Uso: registra cada actividad o recurso en una fila. Ingresa cantidad y costo unitario; el costo total y el presupuesto general se calculan automáticamente. Ajusta el porcentaje de imprevistos en F34.</t>
  </si>
  <si>
    <t xml:space="preserve">RESUMEN DEL PRESUPUESTO POR ETAPA</t>
  </si>
  <si>
    <t xml:space="preserve">Costo estimado (COP)</t>
  </si>
  <si>
    <t xml:space="preserve">Notas</t>
  </si>
  <si>
    <t xml:space="preserve">Total de etapas:</t>
  </si>
  <si>
    <t xml:space="preserve">Importante: para que el resumen funcione, escribe en la columna Etapa de la hoja Presupuesto los nombres de etapa tal como aparecen en esta lista.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</si>
</sst>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dd/mm/yyyy"/>
    <numFmt numFmtId="166" formatCode="#,##0.00"/>
    <numFmt numFmtId="167" formatCode="#,##0"/>
    <numFmt numFmtId="168" formatCode="&quot;$ &quot;#,##0"/>
    <numFmt numFmtId="169" formatCode="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2"/>
      <color rgb="FFFFFFFF"/>
      <name val="Cambria"/>
      <family val="0"/>
      <charset val="1"/>
    </font>
    <font>
      <i val="true"/>
      <sz val="10"/>
      <color rgb="FF666666"/>
      <name val="Cambria"/>
      <family val="0"/>
      <charset val="1"/>
    </font>
    <font>
      <b val="true"/>
      <sz val="15"/>
      <color rgb="FFFFFFFF"/>
      <name val="Cambria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FFF"/>
        <bgColor rgb="FFF3F6F9"/>
      </patternFill>
    </fill>
    <fill>
      <patternFill patternType="solid">
        <fgColor rgb="FFF3F6F9"/>
        <bgColor rgb="FFFFFFFF"/>
      </patternFill>
    </fill>
    <fill>
      <patternFill patternType="solid">
        <fgColor rgb="FFE2F0D9"/>
        <bgColor rgb="FFF3F6F9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E1F2"/>
      </bottom>
      <diagonal/>
    </border>
    <border diagonalUp="false" diagonalDown="false">
      <left/>
      <right/>
      <top style="thin">
        <color rgb="FFD9E1F2"/>
      </top>
      <bottom style="thin">
        <color rgb="FFD9E1F2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0" fillId="3" borderId="1" xfId="0" applyFont="false" applyBorder="true" applyAlignment="true" applyProtection="false">
      <alignment horizontal="general" vertical="top" textRotation="0" wrapText="false" indent="0" shrinkToFit="false"/>
      <protection locked="true" hidden="false"/>
    </xf>
    <xf numFmtId="167" fontId="0" fillId="3" borderId="1" xfId="0" applyFont="fals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0" fillId="4" borderId="1" xfId="0" applyFont="false" applyBorder="true" applyAlignment="true" applyProtection="false">
      <alignment horizontal="general" vertical="top" textRotation="0" wrapText="false" indent="0" shrinkToFit="false"/>
      <protection locked="true" hidden="false"/>
    </xf>
    <xf numFmtId="167" fontId="0" fillId="4" borderId="1" xfId="0" applyFont="false" applyBorder="true" applyAlignment="true" applyProtection="false">
      <alignment horizontal="general" vertical="top" textRotation="0" wrapText="false" indent="0" shrinkToFit="false"/>
      <protection locked="true" hidden="false"/>
    </xf>
    <xf numFmtId="168" fontId="0" fillId="3" borderId="1" xfId="0" applyFont="false" applyBorder="true" applyAlignment="true" applyProtection="false">
      <alignment horizontal="general" vertical="top" textRotation="0" wrapText="false" indent="0" shrinkToFit="false"/>
      <protection locked="true" hidden="false"/>
    </xf>
    <xf numFmtId="168" fontId="0" fillId="4" borderId="1" xfId="0" applyFont="fals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5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0" fillId="0" borderId="2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0" fillId="0" borderId="2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2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7" fillId="2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8" fontId="0" fillId="4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8" fontId="0" fillId="3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4E78"/>
          <bgColor rgb="FF000000"/>
        </patternFill>
      </fill>
    </dxf>
    <dxf>
      <fill>
        <patternFill patternType="solid">
          <fgColor rgb="FFF3F6F9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3F6F9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3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32"/>
    <col collapsed="false" customWidth="true" hidden="false" outlineLevel="0" max="3" min="3" style="0" width="18"/>
    <col collapsed="false" customWidth="true" hidden="false" outlineLevel="0" max="4" min="4" style="0" width="12"/>
    <col collapsed="false" customWidth="true" hidden="false" outlineLevel="0" max="6" min="5" style="0" width="21"/>
    <col collapsed="false" customWidth="true" hidden="false" outlineLevel="0" max="7" min="7" style="0" width="30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3" customFormat="false" ht="15" hidden="false" customHeight="false" outlineLevel="0" collapsed="false">
      <c r="A3" s="2" t="s">
        <v>1</v>
      </c>
      <c r="B3" s="3" t="s">
        <v>2</v>
      </c>
      <c r="C3" s="3"/>
      <c r="D3" s="3"/>
      <c r="E3" s="3"/>
      <c r="F3" s="3"/>
      <c r="G3" s="3"/>
    </row>
    <row r="4" customFormat="false" ht="15" hidden="false" customHeight="false" outlineLevel="0" collapsed="false">
      <c r="A4" s="2" t="s">
        <v>3</v>
      </c>
      <c r="B4" s="3" t="s">
        <v>4</v>
      </c>
      <c r="C4" s="3"/>
      <c r="D4" s="3"/>
      <c r="E4" s="2" t="s">
        <v>5</v>
      </c>
      <c r="F4" s="4" t="n">
        <v>46317</v>
      </c>
      <c r="G4" s="4"/>
    </row>
    <row r="6" customFormat="false" ht="33.75" hidden="false" customHeight="true" outlineLevel="0" collapsed="false">
      <c r="A6" s="5" t="s">
        <v>6</v>
      </c>
      <c r="B6" s="5" t="s">
        <v>7</v>
      </c>
      <c r="C6" s="5" t="s">
        <v>8</v>
      </c>
      <c r="D6" s="5" t="s">
        <v>9</v>
      </c>
      <c r="E6" s="5" t="s">
        <v>10</v>
      </c>
      <c r="F6" s="5" t="s">
        <v>11</v>
      </c>
      <c r="G6" s="5" t="s">
        <v>12</v>
      </c>
    </row>
    <row r="7" customFormat="false" ht="41.75" hidden="false" customHeight="false" outlineLevel="0" collapsed="false">
      <c r="A7" s="6" t="s">
        <v>13</v>
      </c>
      <c r="B7" s="6" t="s">
        <v>14</v>
      </c>
      <c r="C7" s="7" t="s">
        <v>15</v>
      </c>
      <c r="D7" s="8" t="n">
        <v>18</v>
      </c>
      <c r="E7" s="9" t="n">
        <v>25000</v>
      </c>
      <c r="F7" s="9" t="n">
        <f aca="false">IF(OR(D7="",E7=""),"",D7*E7)</f>
        <v>450000</v>
      </c>
      <c r="G7" s="6" t="s">
        <v>16</v>
      </c>
    </row>
    <row r="8" customFormat="false" ht="41.75" hidden="false" customHeight="false" outlineLevel="0" collapsed="false">
      <c r="A8" s="10" t="s">
        <v>17</v>
      </c>
      <c r="B8" s="10" t="s">
        <v>18</v>
      </c>
      <c r="C8" s="11" t="s">
        <v>15</v>
      </c>
      <c r="D8" s="12" t="n">
        <v>18</v>
      </c>
      <c r="E8" s="13" t="n">
        <v>25000</v>
      </c>
      <c r="F8" s="13" t="n">
        <f aca="false">IF(OR(D8="",E8=""),"",D8*E8)</f>
        <v>450000</v>
      </c>
      <c r="G8" s="10" t="s">
        <v>19</v>
      </c>
    </row>
    <row r="9" customFormat="false" ht="41.75" hidden="false" customHeight="false" outlineLevel="0" collapsed="false">
      <c r="A9" s="6" t="s">
        <v>20</v>
      </c>
      <c r="B9" s="6" t="s">
        <v>21</v>
      </c>
      <c r="C9" s="7" t="s">
        <v>15</v>
      </c>
      <c r="D9" s="8" t="n">
        <v>54</v>
      </c>
      <c r="E9" s="9" t="n">
        <v>25000</v>
      </c>
      <c r="F9" s="9" t="n">
        <f aca="false">IF(OR(D9="",E9=""),"",D9*E9)</f>
        <v>1350000</v>
      </c>
      <c r="G9" s="6" t="s">
        <v>19</v>
      </c>
    </row>
    <row r="10" customFormat="false" ht="41.75" hidden="false" customHeight="false" outlineLevel="0" collapsed="false">
      <c r="A10" s="10" t="s">
        <v>20</v>
      </c>
      <c r="B10" s="10" t="s">
        <v>22</v>
      </c>
      <c r="C10" s="11" t="s">
        <v>23</v>
      </c>
      <c r="D10" s="12" t="n">
        <v>3</v>
      </c>
      <c r="E10" s="13" t="n">
        <v>3500000</v>
      </c>
      <c r="F10" s="13" t="n">
        <f aca="false">IF(OR(D10="",E10=""),"",D10*E10)</f>
        <v>10500000</v>
      </c>
      <c r="G10" s="10" t="s">
        <v>24</v>
      </c>
    </row>
    <row r="11" customFormat="false" ht="28.35" hidden="false" customHeight="false" outlineLevel="0" collapsed="false">
      <c r="A11" s="6" t="s">
        <v>20</v>
      </c>
      <c r="B11" s="6" t="s">
        <v>25</v>
      </c>
      <c r="C11" s="7" t="s">
        <v>23</v>
      </c>
      <c r="D11" s="8" t="n">
        <v>1</v>
      </c>
      <c r="E11" s="9" t="n">
        <v>1200000</v>
      </c>
      <c r="F11" s="9" t="n">
        <f aca="false">IF(OR(D11="",E11=""),"",D11*E11)</f>
        <v>1200000</v>
      </c>
      <c r="G11" s="6" t="s">
        <v>26</v>
      </c>
    </row>
    <row r="12" customFormat="false" ht="41.75" hidden="false" customHeight="false" outlineLevel="0" collapsed="false">
      <c r="A12" s="10" t="s">
        <v>20</v>
      </c>
      <c r="B12" s="10" t="s">
        <v>27</v>
      </c>
      <c r="C12" s="11" t="s">
        <v>28</v>
      </c>
      <c r="D12" s="12" t="n">
        <v>18</v>
      </c>
      <c r="E12" s="13" t="n">
        <v>30000</v>
      </c>
      <c r="F12" s="13" t="n">
        <f aca="false">IF(OR(D12="",E12=""),"",D12*E12)</f>
        <v>540000</v>
      </c>
      <c r="G12" s="10" t="s">
        <v>29</v>
      </c>
    </row>
    <row r="13" customFormat="false" ht="55.2" hidden="false" customHeight="false" outlineLevel="0" collapsed="false">
      <c r="A13" s="6" t="s">
        <v>20</v>
      </c>
      <c r="B13" s="6" t="s">
        <v>30</v>
      </c>
      <c r="C13" s="7" t="s">
        <v>31</v>
      </c>
      <c r="D13" s="8" t="n">
        <v>1</v>
      </c>
      <c r="E13" s="9" t="n">
        <v>0</v>
      </c>
      <c r="F13" s="9" t="n">
        <f aca="false">IF(OR(D13="",E13=""),"",D13*E13)</f>
        <v>0</v>
      </c>
      <c r="G13" s="6" t="s">
        <v>32</v>
      </c>
    </row>
    <row r="14" customFormat="false" ht="41.75" hidden="false" customHeight="false" outlineLevel="0" collapsed="false">
      <c r="A14" s="10" t="s">
        <v>20</v>
      </c>
      <c r="B14" s="10" t="s">
        <v>33</v>
      </c>
      <c r="C14" s="11" t="s">
        <v>28</v>
      </c>
      <c r="D14" s="12" t="n">
        <v>2</v>
      </c>
      <c r="E14" s="13" t="n">
        <v>40000</v>
      </c>
      <c r="F14" s="13" t="n">
        <f aca="false">IF(OR(D14="",E14=""),"",D14*E14)</f>
        <v>80000</v>
      </c>
      <c r="G14" s="10" t="s">
        <v>34</v>
      </c>
    </row>
    <row r="15" customFormat="false" ht="41.75" hidden="false" customHeight="false" outlineLevel="0" collapsed="false">
      <c r="A15" s="6" t="s">
        <v>20</v>
      </c>
      <c r="B15" s="6" t="s">
        <v>35</v>
      </c>
      <c r="C15" s="7" t="s">
        <v>28</v>
      </c>
      <c r="D15" s="8" t="n">
        <v>2</v>
      </c>
      <c r="E15" s="9" t="n">
        <v>85000</v>
      </c>
      <c r="F15" s="9" t="n">
        <f aca="false">IF(OR(D15="",E15=""),"",D15*E15)</f>
        <v>170000</v>
      </c>
      <c r="G15" s="6" t="s">
        <v>36</v>
      </c>
    </row>
    <row r="16" customFormat="false" ht="41.75" hidden="false" customHeight="false" outlineLevel="0" collapsed="false">
      <c r="A16" s="10" t="s">
        <v>37</v>
      </c>
      <c r="B16" s="10" t="s">
        <v>38</v>
      </c>
      <c r="C16" s="11" t="s">
        <v>15</v>
      </c>
      <c r="D16" s="12" t="n">
        <v>12</v>
      </c>
      <c r="E16" s="13" t="n">
        <v>25000</v>
      </c>
      <c r="F16" s="13" t="n">
        <f aca="false">IF(OR(D16="",E16=""),"",D16*E16)</f>
        <v>300000</v>
      </c>
      <c r="G16" s="10" t="s">
        <v>19</v>
      </c>
    </row>
    <row r="17" customFormat="false" ht="28.35" hidden="false" customHeight="false" outlineLevel="0" collapsed="false">
      <c r="A17" s="6" t="s">
        <v>39</v>
      </c>
      <c r="B17" s="6" t="s">
        <v>40</v>
      </c>
      <c r="C17" s="7" t="s">
        <v>15</v>
      </c>
      <c r="D17" s="8" t="n">
        <v>6</v>
      </c>
      <c r="E17" s="9" t="n">
        <v>25000</v>
      </c>
      <c r="F17" s="9" t="n">
        <f aca="false">IF(OR(D17="",E17=""),"",D17*E17)</f>
        <v>150000</v>
      </c>
      <c r="G17" s="6" t="s">
        <v>19</v>
      </c>
    </row>
    <row r="18" customFormat="false" ht="41.75" hidden="false" customHeight="false" outlineLevel="0" collapsed="false">
      <c r="A18" s="10" t="s">
        <v>39</v>
      </c>
      <c r="B18" s="10" t="s">
        <v>41</v>
      </c>
      <c r="C18" s="11" t="s">
        <v>31</v>
      </c>
      <c r="D18" s="12" t="n">
        <v>1</v>
      </c>
      <c r="E18" s="13" t="n">
        <v>105000</v>
      </c>
      <c r="F18" s="13" t="n">
        <f aca="false">IF(OR(D18="",E18=""),"",D18*E18)</f>
        <v>105000</v>
      </c>
      <c r="G18" s="10" t="s">
        <v>42</v>
      </c>
    </row>
    <row r="19" customFormat="false" ht="28.35" hidden="false" customHeight="false" outlineLevel="0" collapsed="false">
      <c r="A19" s="6" t="s">
        <v>43</v>
      </c>
      <c r="B19" s="6" t="s">
        <v>44</v>
      </c>
      <c r="C19" s="7" t="s">
        <v>45</v>
      </c>
      <c r="D19" s="8" t="n">
        <v>1</v>
      </c>
      <c r="E19" s="9" t="n">
        <v>40000</v>
      </c>
      <c r="F19" s="9" t="n">
        <f aca="false">IF(OR(D19="",E19=""),"",D19*E19)</f>
        <v>40000</v>
      </c>
      <c r="G19" s="6" t="s">
        <v>46</v>
      </c>
    </row>
    <row r="20" customFormat="false" ht="15" hidden="false" customHeight="false" outlineLevel="0" collapsed="false">
      <c r="A20" s="10" t="s">
        <v>43</v>
      </c>
      <c r="B20" s="10" t="s">
        <v>47</v>
      </c>
      <c r="C20" s="11" t="s">
        <v>48</v>
      </c>
      <c r="D20" s="12" t="n">
        <v>1</v>
      </c>
      <c r="E20" s="13" t="n">
        <v>20000</v>
      </c>
      <c r="F20" s="13" t="n">
        <f aca="false">IF(OR(D20="",E20=""),"",D20*E20)</f>
        <v>20000</v>
      </c>
      <c r="G20" s="10" t="s">
        <v>46</v>
      </c>
    </row>
    <row r="21" customFormat="false" ht="15" hidden="false" customHeight="false" outlineLevel="0" collapsed="false">
      <c r="A21" s="6"/>
      <c r="B21" s="6"/>
      <c r="C21" s="7"/>
      <c r="D21" s="8"/>
      <c r="E21" s="14"/>
      <c r="F21" s="14" t="str">
        <f aca="false">IF(OR(D21="",E21=""),"",D21*E21)</f>
        <v/>
      </c>
      <c r="G21" s="6"/>
    </row>
    <row r="22" customFormat="false" ht="15" hidden="false" customHeight="false" outlineLevel="0" collapsed="false">
      <c r="A22" s="10"/>
      <c r="B22" s="10"/>
      <c r="C22" s="11"/>
      <c r="D22" s="12"/>
      <c r="E22" s="15"/>
      <c r="F22" s="15" t="str">
        <f aca="false">IF(OR(D22="",E22=""),"",D22*E22)</f>
        <v/>
      </c>
      <c r="G22" s="10"/>
    </row>
    <row r="23" customFormat="false" ht="15" hidden="false" customHeight="false" outlineLevel="0" collapsed="false">
      <c r="A23" s="6"/>
      <c r="B23" s="6"/>
      <c r="C23" s="7"/>
      <c r="D23" s="8"/>
      <c r="E23" s="14"/>
      <c r="F23" s="14" t="str">
        <f aca="false">IF(OR(D23="",E23=""),"",D23*E23)</f>
        <v/>
      </c>
      <c r="G23" s="6"/>
    </row>
    <row r="24" customFormat="false" ht="15" hidden="false" customHeight="false" outlineLevel="0" collapsed="false">
      <c r="A24" s="10"/>
      <c r="B24" s="10"/>
      <c r="C24" s="11"/>
      <c r="D24" s="12"/>
      <c r="E24" s="15"/>
      <c r="F24" s="15" t="str">
        <f aca="false">IF(OR(D24="",E24=""),"",D24*E24)</f>
        <v/>
      </c>
      <c r="G24" s="10"/>
    </row>
    <row r="25" customFormat="false" ht="15" hidden="false" customHeight="false" outlineLevel="0" collapsed="false">
      <c r="A25" s="6"/>
      <c r="B25" s="6"/>
      <c r="C25" s="7"/>
      <c r="D25" s="8"/>
      <c r="E25" s="14"/>
      <c r="F25" s="14" t="str">
        <f aca="false">IF(OR(D25="",E25=""),"",D25*E25)</f>
        <v/>
      </c>
      <c r="G25" s="6"/>
    </row>
    <row r="26" customFormat="false" ht="15" hidden="false" customHeight="false" outlineLevel="0" collapsed="false">
      <c r="A26" s="10"/>
      <c r="B26" s="10"/>
      <c r="C26" s="11"/>
      <c r="D26" s="12"/>
      <c r="E26" s="15"/>
      <c r="F26" s="15" t="str">
        <f aca="false">IF(OR(D26="",E26=""),"",D26*E26)</f>
        <v/>
      </c>
      <c r="G26" s="10"/>
    </row>
    <row r="27" customFormat="false" ht="15" hidden="false" customHeight="false" outlineLevel="0" collapsed="false">
      <c r="A27" s="6"/>
      <c r="B27" s="6"/>
      <c r="C27" s="7"/>
      <c r="D27" s="8"/>
      <c r="E27" s="14"/>
      <c r="F27" s="14" t="str">
        <f aca="false">IF(OR(D27="",E27=""),"",D27*E27)</f>
        <v/>
      </c>
      <c r="G27" s="6"/>
    </row>
    <row r="28" customFormat="false" ht="15" hidden="false" customHeight="false" outlineLevel="0" collapsed="false">
      <c r="A28" s="10"/>
      <c r="B28" s="10"/>
      <c r="C28" s="11"/>
      <c r="D28" s="12"/>
      <c r="E28" s="15"/>
      <c r="F28" s="15" t="str">
        <f aca="false">IF(OR(D28="",E28=""),"",D28*E28)</f>
        <v/>
      </c>
      <c r="G28" s="10"/>
    </row>
    <row r="29" customFormat="false" ht="15" hidden="false" customHeight="false" outlineLevel="0" collapsed="false">
      <c r="A29" s="6"/>
      <c r="B29" s="6"/>
      <c r="C29" s="7"/>
      <c r="D29" s="8"/>
      <c r="E29" s="14"/>
      <c r="F29" s="14" t="str">
        <f aca="false">IF(OR(D29="",E29=""),"",D29*E29)</f>
        <v/>
      </c>
      <c r="G29" s="6"/>
    </row>
    <row r="30" customFormat="false" ht="15" hidden="false" customHeight="false" outlineLevel="0" collapsed="false">
      <c r="A30" s="10"/>
      <c r="B30" s="10"/>
      <c r="C30" s="11"/>
      <c r="D30" s="12"/>
      <c r="E30" s="15"/>
      <c r="F30" s="15" t="str">
        <f aca="false">IF(OR(D30="",E30=""),"",D30*E30)</f>
        <v/>
      </c>
      <c r="G30" s="10"/>
    </row>
    <row r="31" customFormat="false" ht="15" hidden="false" customHeight="false" outlineLevel="0" collapsed="false">
      <c r="A31" s="6"/>
      <c r="B31" s="6"/>
      <c r="C31" s="7"/>
      <c r="D31" s="8"/>
      <c r="E31" s="14"/>
      <c r="F31" s="14" t="str">
        <f aca="false">IF(OR(D31="",E31=""),"",D31*E31)</f>
        <v/>
      </c>
      <c r="G31" s="6"/>
    </row>
    <row r="33" customFormat="false" ht="15" hidden="false" customHeight="false" outlineLevel="0" collapsed="false">
      <c r="E33" s="16" t="s">
        <v>49</v>
      </c>
      <c r="F33" s="17" t="n">
        <f aca="false">SUM(F7:F31)</f>
        <v>15355000</v>
      </c>
    </row>
    <row r="34" customFormat="false" ht="15" hidden="false" customHeight="false" outlineLevel="0" collapsed="false">
      <c r="E34" s="16" t="s">
        <v>50</v>
      </c>
      <c r="F34" s="18" t="n">
        <v>0.1</v>
      </c>
    </row>
    <row r="35" customFormat="false" ht="15" hidden="false" customHeight="false" outlineLevel="0" collapsed="false">
      <c r="E35" s="16" t="s">
        <v>51</v>
      </c>
      <c r="F35" s="19" t="n">
        <f aca="false">F33*F34</f>
        <v>1535500</v>
      </c>
    </row>
    <row r="36" customFormat="false" ht="24.75" hidden="false" customHeight="true" outlineLevel="0" collapsed="false">
      <c r="E36" s="20" t="s">
        <v>52</v>
      </c>
      <c r="F36" s="21" t="n">
        <f aca="false">F33+F35</f>
        <v>16890500</v>
      </c>
    </row>
    <row r="39" customFormat="false" ht="31.5" hidden="false" customHeight="true" outlineLevel="0" collapsed="false">
      <c r="A39" s="22" t="s">
        <v>53</v>
      </c>
      <c r="B39" s="22"/>
      <c r="C39" s="22"/>
      <c r="D39" s="22"/>
      <c r="E39" s="22"/>
      <c r="F39" s="22"/>
      <c r="G39" s="22"/>
    </row>
  </sheetData>
  <autoFilter ref="A6:G31"/>
  <mergeCells count="5">
    <mergeCell ref="A1:G1"/>
    <mergeCell ref="B3:G3"/>
    <mergeCell ref="B4:D4"/>
    <mergeCell ref="F4:G4"/>
    <mergeCell ref="A39:G39"/>
  </mergeCells>
  <dataValidations count="1">
    <dataValidation allowBlank="true" error="Selecciona un tipo de costo de la lista." errorStyle="stop" errorTitle="Tipo de costo no válido" operator="between" showDropDown="false" showErrorMessage="false" showInputMessage="false" sqref="C7:C31" type="list">
      <formula1>"Personal,Materiales,Equipos,Software,Transporte,Servicios,Capacitación,Otros"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4"/>
    <col collapsed="false" customWidth="true" hidden="false" outlineLevel="0" max="3" min="3" style="0" width="42"/>
  </cols>
  <sheetData>
    <row r="1" customFormat="false" ht="18.55" hidden="false" customHeight="false" outlineLevel="0" collapsed="false">
      <c r="A1" s="23" t="s">
        <v>54</v>
      </c>
      <c r="B1" s="23"/>
      <c r="C1" s="23"/>
    </row>
    <row r="3" customFormat="false" ht="15" hidden="false" customHeight="false" outlineLevel="0" collapsed="false">
      <c r="A3" s="24" t="s">
        <v>6</v>
      </c>
      <c r="B3" s="24" t="s">
        <v>55</v>
      </c>
      <c r="C3" s="24" t="s">
        <v>56</v>
      </c>
    </row>
    <row r="4" customFormat="false" ht="15" hidden="false" customHeight="false" outlineLevel="0" collapsed="false">
      <c r="A4" s="10" t="s">
        <v>13</v>
      </c>
      <c r="B4" s="25" t="n">
        <f aca="false">SUMIF(Presupuesto!A$7:A$31,A4,Presupuesto!F$7:F$31)</f>
        <v>450000</v>
      </c>
      <c r="C4" s="10"/>
    </row>
    <row r="5" customFormat="false" ht="15" hidden="false" customHeight="false" outlineLevel="0" collapsed="false">
      <c r="A5" s="6" t="s">
        <v>17</v>
      </c>
      <c r="B5" s="26" t="n">
        <f aca="false">SUMIF(Presupuesto!A$7:A$31,A5,Presupuesto!F$7:F$31)</f>
        <v>450000</v>
      </c>
      <c r="C5" s="6"/>
    </row>
    <row r="6" customFormat="false" ht="15" hidden="false" customHeight="false" outlineLevel="0" collapsed="false">
      <c r="A6" s="10" t="s">
        <v>20</v>
      </c>
      <c r="B6" s="25" t="n">
        <f aca="false">SUMIF(Presupuesto!A$7:A$31,A6,Presupuesto!F$7:F$31)</f>
        <v>13840000</v>
      </c>
      <c r="C6" s="10"/>
    </row>
    <row r="7" customFormat="false" ht="15" hidden="false" customHeight="false" outlineLevel="0" collapsed="false">
      <c r="A7" s="6" t="s">
        <v>37</v>
      </c>
      <c r="B7" s="26" t="n">
        <f aca="false">SUMIF(Presupuesto!A$7:A$31,A7,Presupuesto!F$7:F$31)</f>
        <v>300000</v>
      </c>
      <c r="C7" s="6"/>
    </row>
    <row r="8" customFormat="false" ht="15" hidden="false" customHeight="false" outlineLevel="0" collapsed="false">
      <c r="A8" s="10" t="s">
        <v>39</v>
      </c>
      <c r="B8" s="25" t="n">
        <f aca="false">SUMIF(Presupuesto!A$7:A$31,A8,Presupuesto!F$7:F$31)</f>
        <v>255000</v>
      </c>
      <c r="C8" s="10"/>
    </row>
    <row r="9" customFormat="false" ht="15" hidden="false" customHeight="false" outlineLevel="0" collapsed="false">
      <c r="A9" s="6" t="s">
        <v>43</v>
      </c>
      <c r="B9" s="26" t="n">
        <f aca="false">SUMIF(Presupuesto!A$7:A$31,A9,Presupuesto!F$7:F$31)</f>
        <v>60000</v>
      </c>
      <c r="C9" s="6"/>
    </row>
    <row r="11" customFormat="false" ht="15" hidden="false" customHeight="false" outlineLevel="0" collapsed="false">
      <c r="A11" s="27" t="s">
        <v>57</v>
      </c>
      <c r="B11" s="28" t="n">
        <f aca="false">SUM(B4:B9)</f>
        <v>15355000</v>
      </c>
    </row>
    <row r="13" customFormat="false" ht="30" hidden="false" customHeight="true" outlineLevel="0" collapsed="false">
      <c r="A13" s="29" t="s">
        <v>58</v>
      </c>
      <c r="B13" s="29"/>
      <c r="C13" s="29"/>
    </row>
  </sheetData>
  <mergeCells count="2">
    <mergeCell ref="A1:C1"/>
    <mergeCell ref="A13:C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2026-10-29T00:49:49Z</dcterms:created>
  <dc:creator>openpyxl</dc:creator>
  <dc:description/>
  <dc:language>en-US</dc:language>
  <cp:lastModifiedBy/>
  <dcterms:modified xsi:type="dcterms:W3CDTF">2026-10-29T19:16:26Z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0x010100917BAEAA76D60F478C7372579CF822C0</vt:lpwstr>
  </property>
</Properties>
</file>