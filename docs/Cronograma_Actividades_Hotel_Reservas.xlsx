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Vista semanal" sheetId="2" state="visible" r:id="rId4"/>
  </sheets>
  <definedNames>
    <definedName function="false" hidden="false" localSheetId="0" name="_xlnm.Print_Titles" vbProcedure="false">Cronograma!$1:$6</definedName>
    <definedName function="false" hidden="true" localSheetId="0" name="_xlnm._FilterDatabase" vbProcedure="false">Cronograma!$A$6:$K$36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<sst xmlns="http://schemas.openxmlformats.org/spreadsheetml/2006/main" count="159" uniqueCount="96">
  <si>
    <t xml:space="preserve">CRONOGRAMA DE ACTIVIDADES DEL PROYECTO</t>
  </si>
  <si>
    <t xml:space="preserve">Nombre del proyecto:</t>
  </si>
  <si>
    <t xml:space="preserve">Hotel Reservas: sistema transaccional móvil (APK) para la gestión de reservas de habitaciones</t>
  </si>
  <si>
    <t xml:space="preserve">Responsable:</t>
  </si>
  <si>
    <t xml:space="preserve">Gustavo Adolfo Cardona Bayona (líder); Jonathan Soler Guevara; Hugo Andrés Forero Angel</t>
  </si>
  <si>
    <t xml:space="preserve">Fecha de inicio:</t>
  </si>
  <si>
    <t xml:space="preserve">Fecha de finalización:</t>
  </si>
  <si>
    <t xml:space="preserve">Duración estimada:</t>
  </si>
  <si>
    <t xml:space="preserve">6 semanas (22 oct a 28 nov de 2026)</t>
  </si>
  <si>
    <t xml:space="preserve">ID</t>
  </si>
  <si>
    <t xml:space="preserve">Etapa</t>
  </si>
  <si>
    <t xml:space="preserve">Actividad</t>
  </si>
  <si>
    <t xml:space="preserve">Responsable</t>
  </si>
  <si>
    <t xml:space="preserve">Fecha inicio</t>
  </si>
  <si>
    <t xml:space="preserve">Fecha fin</t>
  </si>
  <si>
    <t xml:space="preserve">Duración (días)</t>
  </si>
  <si>
    <t xml:space="preserve">Estado</t>
  </si>
  <si>
    <t xml:space="preserve">Prioridad</t>
  </si>
  <si>
    <t xml:space="preserve">Evidencia / entregable</t>
  </si>
  <si>
    <t xml:space="preserve">Observaciones</t>
  </si>
  <si>
    <t xml:space="preserve">Planeación</t>
  </si>
  <si>
    <t xml:space="preserve">Actividad 4: modelado de la red neuronal, estado del arte, presupuesto y cronograma</t>
  </si>
  <si>
    <t xml:space="preserve">Los tres integrantes</t>
  </si>
  <si>
    <t xml:space="preserve">Completada</t>
  </si>
  <si>
    <t xml:space="preserve">Alta</t>
  </si>
  <si>
    <t xml:space="preserve">Documento "Actividad 4. Continuación del documento maestro" (PDF)</t>
  </si>
  <si>
    <t xml:space="preserve">Entregado con este cronograma y el presupuesto</t>
  </si>
  <si>
    <t xml:space="preserve">Diseño</t>
  </si>
  <si>
    <t xml:space="preserve">Ajuste del modelo de datos: columna riesgo_cancelacion, perfil CLIENTE y vistas de historial para la IA (script 07)</t>
  </si>
  <si>
    <t xml:space="preserve">Jonathan Soler</t>
  </si>
  <si>
    <t xml:space="preserve">Pendiente</t>
  </si>
  <si>
    <t xml:space="preserve">database/07_servicio_inteligente.sql ejecutado en SSMS (captura)</t>
  </si>
  <si>
    <t xml:space="preserve">Prerrequisito de las actividades 5 y 7</t>
  </si>
  <si>
    <t xml:space="preserve">Desarrollo / ejecución</t>
  </si>
  <si>
    <t xml:space="preserve">Conexión de la app móvil a la API: inicio de sesión con token, disponibilidad y confirmación de reserva</t>
  </si>
  <si>
    <t xml:space="preserve">Gustavo Cardona</t>
  </si>
  <si>
    <t xml:space="preserve">APK conectada; capturas de respuestas 200, 201 y 409 de la API</t>
  </si>
  <si>
    <t xml:space="preserve">Tarea de mayor riesgo técnico</t>
  </si>
  <si>
    <t xml:space="preserve">Administración de habitaciones, tarifas y usuarios en la API con autorización por rol</t>
  </si>
  <si>
    <t xml:space="preserve">Media</t>
  </si>
  <si>
    <t xml:space="preserve">Recursos /api/habitaciones, /api/tarifas y /api/usuarios probados en HotelReservas.Api.http</t>
  </si>
  <si>
    <t xml:space="preserve">En paralelo con la actividad 3</t>
  </si>
  <si>
    <t xml:space="preserve">Servicio inteligente TensorFlow/FastAPI: entrenamiento de los modelos de cancelación y ocupación, API y puente /api/prediccion</t>
  </si>
  <si>
    <t xml:space="preserve">En curso</t>
  </si>
  <si>
    <t xml:space="preserve">servicio_inteligente/ (entrenar_modelo.py, api.py, metricas.json, pruebas/evidencias.json)</t>
  </si>
  <si>
    <t xml:space="preserve">Sigue la guía UMB de servicio inteligente con TensorFlow</t>
  </si>
  <si>
    <t xml:space="preserve">Notificaciones de confirmación por correo (hotelreservas2026@gmail.com) y WhatsApp desde la API</t>
  </si>
  <si>
    <t xml:space="preserve">Hugo Forero</t>
  </si>
  <si>
    <t xml:space="preserve">Correo recibido por un huésped de prueba y enlace wa.me generado (capturas)</t>
  </si>
  <si>
    <t xml:space="preserve">Requiere la clave de aplicación de Gmail en user-secrets</t>
  </si>
  <si>
    <t xml:space="preserve">Reentrenamiento de los modelos con el historial real exportado desde las vistas de SQL Server</t>
  </si>
  <si>
    <t xml:space="preserve">metricas.json con los datos reales y comparación con los simulados</t>
  </si>
  <si>
    <t xml:space="preserve">Depende de las actividades 2 y 5</t>
  </si>
  <si>
    <t xml:space="preserve">Pruebas / validación</t>
  </si>
  <si>
    <t xml:space="preserve">Pruebas de aceptación de los requerimientos no funcionales con métrica y procedimiento (RNF01 a RNF05)</t>
  </si>
  <si>
    <t xml:space="preserve">Jonathan Soler y Hugo Forero</t>
  </si>
  <si>
    <t xml:space="preserve">Tabla de pruebas diligenciada con resultados y capturas</t>
  </si>
  <si>
    <t xml:space="preserve">Atiende la retroalimentación del docente</t>
  </si>
  <si>
    <t xml:space="preserve">Prueba de concurrencia con dos sesiones sobre la última habitación (HTTP 409) y evidencias de API y SQL</t>
  </si>
  <si>
    <t xml:space="preserve">docs/auditoria/04_demo_concurrencia_auditoria.sql ejecutado; capturas de las dos sesiones</t>
  </si>
  <si>
    <t xml:space="preserve">Evidencia verificable, no solo descripción</t>
  </si>
  <si>
    <t xml:space="preserve">Pruebas automáticas del servicio inteligente (probar_api.py) y validación de las métricas MAE, RMSE, R², precisión y sensibilidad</t>
  </si>
  <si>
    <t xml:space="preserve">pruebas/evidencias.json y salida de la consola</t>
  </si>
  <si>
    <t xml:space="preserve">10 casos de prueba</t>
  </si>
  <si>
    <t xml:space="preserve">Implementación</t>
  </si>
  <si>
    <t xml:space="preserve">Generación de la APK firmada e instalación en los dispositivos de prueba</t>
  </si>
  <si>
    <t xml:space="preserve">app-release.apk instalada; captura del inicio de sesión en el teléfono</t>
  </si>
  <si>
    <t xml:space="preserve">Despliegue local de la API, la base de datos y el servicio inteligente para la sustentación</t>
  </si>
  <si>
    <t xml:space="preserve">Guía de arranque y captura de los tres servicios activos</t>
  </si>
  <si>
    <t xml:space="preserve">Ejecución en el computador del equipo</t>
  </si>
  <si>
    <t xml:space="preserve">Cierre</t>
  </si>
  <si>
    <t xml:space="preserve">Documento maestro final, manual de usuario y actualización del repositorio en GitHub</t>
  </si>
  <si>
    <t xml:space="preserve">PDF final y repositorio actualizado</t>
  </si>
  <si>
    <t xml:space="preserve">Incluye la revisión de referencias, redacción y términos técnicos</t>
  </si>
  <si>
    <t xml:space="preserve">Sustentación final del proyecto</t>
  </si>
  <si>
    <t xml:space="preserve">Presentación y demostración en vivo</t>
  </si>
  <si>
    <t xml:space="preserve">Uso: registra una actividad por fila. La duración se calcula automáticamente al ingresar las fechas. Selecciona el estado y la prioridad desde las listas desplegables.</t>
  </si>
  <si>
    <t xml:space="preserve">VISTA SEMANAL DEL CRONOGRAMA</t>
  </si>
  <si>
    <t xml:space="preserve">Semana 1</t>
  </si>
  <si>
    <t xml:space="preserve">Semana 2</t>
  </si>
  <si>
    <t xml:space="preserve">Semana 3</t>
  </si>
  <si>
    <t xml:space="preserve">Semana 4</t>
  </si>
  <si>
    <t xml:space="preserve">Semana 5</t>
  </si>
  <si>
    <t xml:space="preserve">Semana 6</t>
  </si>
  <si>
    <t xml:space="preserve">Semana 7</t>
  </si>
  <si>
    <t xml:space="preserve">Semana 8</t>
  </si>
  <si>
    <t xml:space="preserve">Semana 9</t>
  </si>
  <si>
    <t xml:space="preserve">Semana 10</t>
  </si>
  <si>
    <t xml:space="preserve">Semana 11</t>
  </si>
  <si>
    <t xml:space="preserve">Semana 12</t>
  </si>
  <si>
    <t xml:space="preserve">Semana 13</t>
  </si>
  <si>
    <t xml:space="preserve">Semana 14</t>
  </si>
  <si>
    <t xml:space="preserve">Semana 15</t>
  </si>
  <si>
    <t xml:space="preserve">Semana 16</t>
  </si>
  <si>
    <t xml:space="preserve">X</t>
  </si>
  <si>
    <t xml:space="preserve">Uso: las actividades y responsables se traen desde la hoja "Cronograma". Marca con una "X" las semanas en las que se trabajará cada actividad.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</si>
</sst>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5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3F6F9"/>
      </patternFill>
    </fill>
    <fill>
      <patternFill patternType="solid">
        <fgColor rgb="FFF3F6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  <border diagonalUp="false" diagonalDown="false">
      <left style="thin">
        <color rgb="FFD9E1F2"/>
      </left>
      <right style="thin">
        <color rgb="FFD9E1F2"/>
      </right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6F9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34"/>
    <col collapsed="false" customWidth="true" hidden="false" outlineLevel="0" max="4" min="4" style="1" width="22"/>
    <col collapsed="false" customWidth="true" hidden="false" outlineLevel="0" max="6" min="5" style="1" width="15"/>
    <col collapsed="false" customWidth="true" hidden="false" outlineLevel="0" max="8" min="7" style="1" width="16"/>
    <col collapsed="false" customWidth="true" hidden="false" outlineLevel="0" max="9" min="9" style="1" width="12"/>
    <col collapsed="false" customWidth="true" hidden="false" outlineLevel="0" max="10" min="10" style="1" width="30"/>
    <col collapsed="false" customWidth="true" hidden="false" outlineLevel="0" max="11" min="11" style="1" width="3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  <c r="G3" s="3" t="s">
        <v>3</v>
      </c>
      <c r="H3" s="4" t="s">
        <v>4</v>
      </c>
      <c r="I3" s="4"/>
      <c r="J3" s="4"/>
      <c r="K3" s="4"/>
      <c r="L3" s="4"/>
      <c r="M3" s="4"/>
      <c r="N3" s="4"/>
    </row>
    <row r="4" customFormat="false" ht="15" hidden="false" customHeight="true" outlineLevel="0" collapsed="false">
      <c r="A4" s="3" t="s">
        <v>5</v>
      </c>
      <c r="B4" s="5" t="n">
        <v>46317</v>
      </c>
      <c r="C4" s="5"/>
      <c r="D4" s="5"/>
      <c r="E4" s="3" t="s">
        <v>6</v>
      </c>
      <c r="F4" s="5" t="n">
        <v>46354</v>
      </c>
      <c r="G4" s="5"/>
      <c r="H4" s="5"/>
      <c r="I4" s="3" t="s">
        <v>7</v>
      </c>
      <c r="J4" s="4" t="s">
        <v>8</v>
      </c>
      <c r="K4" s="4"/>
      <c r="L4" s="4"/>
      <c r="M4" s="4"/>
      <c r="N4" s="4"/>
    </row>
    <row r="6" customFormat="false" ht="36" hidden="false" customHeight="true" outlineLevel="0" collapsed="false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17</v>
      </c>
      <c r="J6" s="6" t="s">
        <v>18</v>
      </c>
      <c r="K6" s="6" t="s">
        <v>19</v>
      </c>
    </row>
    <row r="7" customFormat="false" ht="41.25" hidden="false" customHeight="true" outlineLevel="0" collapsed="false">
      <c r="A7" s="7" t="n">
        <v>1</v>
      </c>
      <c r="B7" s="7" t="s">
        <v>20</v>
      </c>
      <c r="C7" s="7" t="s">
        <v>21</v>
      </c>
      <c r="D7" s="7" t="s">
        <v>22</v>
      </c>
      <c r="E7" s="8" t="n">
        <v>46317</v>
      </c>
      <c r="F7" s="8" t="n">
        <v>46321</v>
      </c>
      <c r="G7" s="9" t="n">
        <f aca="false">IF(OR(E7="",F7=""),"",F7-E7+1)</f>
        <v>5</v>
      </c>
      <c r="H7" s="10" t="s">
        <v>23</v>
      </c>
      <c r="I7" s="10" t="s">
        <v>24</v>
      </c>
      <c r="J7" s="7" t="s">
        <v>25</v>
      </c>
      <c r="K7" s="7" t="s">
        <v>26</v>
      </c>
    </row>
    <row r="8" customFormat="false" ht="41.25" hidden="false" customHeight="true" outlineLevel="0" collapsed="false">
      <c r="A8" s="11" t="n">
        <v>2</v>
      </c>
      <c r="B8" s="11" t="s">
        <v>27</v>
      </c>
      <c r="C8" s="11" t="s">
        <v>28</v>
      </c>
      <c r="D8" s="11" t="s">
        <v>29</v>
      </c>
      <c r="E8" s="12" t="n">
        <v>46322</v>
      </c>
      <c r="F8" s="12" t="n">
        <v>46324</v>
      </c>
      <c r="G8" s="13" t="n">
        <f aca="false">IF(OR(E8="",F8=""),"",F8-E8+1)</f>
        <v>3</v>
      </c>
      <c r="H8" s="14" t="s">
        <v>30</v>
      </c>
      <c r="I8" s="14" t="s">
        <v>24</v>
      </c>
      <c r="J8" s="11" t="s">
        <v>31</v>
      </c>
      <c r="K8" s="11" t="s">
        <v>32</v>
      </c>
    </row>
    <row r="9" customFormat="false" ht="54.75" hidden="false" customHeight="true" outlineLevel="0" collapsed="false">
      <c r="A9" s="7" t="n">
        <v>3</v>
      </c>
      <c r="B9" s="7" t="s">
        <v>33</v>
      </c>
      <c r="C9" s="7" t="s">
        <v>34</v>
      </c>
      <c r="D9" s="7" t="s">
        <v>35</v>
      </c>
      <c r="E9" s="8" t="n">
        <v>46322</v>
      </c>
      <c r="F9" s="8" t="n">
        <v>46333</v>
      </c>
      <c r="G9" s="9" t="n">
        <f aca="false">IF(OR(E9="",F9=""),"",F9-E9+1)</f>
        <v>12</v>
      </c>
      <c r="H9" s="10" t="s">
        <v>30</v>
      </c>
      <c r="I9" s="10" t="s">
        <v>24</v>
      </c>
      <c r="J9" s="7" t="s">
        <v>36</v>
      </c>
      <c r="K9" s="7" t="s">
        <v>37</v>
      </c>
    </row>
    <row r="10" customFormat="false" ht="54.75" hidden="false" customHeight="true" outlineLevel="0" collapsed="false">
      <c r="A10" s="11" t="n">
        <v>4</v>
      </c>
      <c r="B10" s="11" t="s">
        <v>33</v>
      </c>
      <c r="C10" s="11" t="s">
        <v>38</v>
      </c>
      <c r="D10" s="11" t="s">
        <v>29</v>
      </c>
      <c r="E10" s="12" t="n">
        <v>46322</v>
      </c>
      <c r="F10" s="12" t="n">
        <v>46333</v>
      </c>
      <c r="G10" s="13" t="n">
        <f aca="false">IF(OR(E10="",F10=""),"",F10-E10+1)</f>
        <v>12</v>
      </c>
      <c r="H10" s="14" t="s">
        <v>30</v>
      </c>
      <c r="I10" s="14" t="s">
        <v>39</v>
      </c>
      <c r="J10" s="11" t="s">
        <v>40</v>
      </c>
      <c r="K10" s="11" t="s">
        <v>41</v>
      </c>
    </row>
    <row r="11" customFormat="false" ht="68.25" hidden="false" customHeight="true" outlineLevel="0" collapsed="false">
      <c r="A11" s="7" t="n">
        <v>5</v>
      </c>
      <c r="B11" s="7" t="s">
        <v>33</v>
      </c>
      <c r="C11" s="7" t="s">
        <v>42</v>
      </c>
      <c r="D11" s="7" t="s">
        <v>35</v>
      </c>
      <c r="E11" s="8" t="n">
        <v>46325</v>
      </c>
      <c r="F11" s="8" t="n">
        <v>46336</v>
      </c>
      <c r="G11" s="9" t="n">
        <f aca="false">IF(OR(E11="",F11=""),"",F11-E11+1)</f>
        <v>12</v>
      </c>
      <c r="H11" s="10" t="s">
        <v>43</v>
      </c>
      <c r="I11" s="10" t="s">
        <v>24</v>
      </c>
      <c r="J11" s="7" t="s">
        <v>44</v>
      </c>
      <c r="K11" s="7" t="s">
        <v>45</v>
      </c>
    </row>
    <row r="12" customFormat="false" ht="54.75" hidden="false" customHeight="true" outlineLevel="0" collapsed="false">
      <c r="A12" s="11" t="n">
        <v>6</v>
      </c>
      <c r="B12" s="11" t="s">
        <v>33</v>
      </c>
      <c r="C12" s="11" t="s">
        <v>46</v>
      </c>
      <c r="D12" s="11" t="s">
        <v>47</v>
      </c>
      <c r="E12" s="12" t="n">
        <v>46329</v>
      </c>
      <c r="F12" s="12" t="n">
        <v>46336</v>
      </c>
      <c r="G12" s="13" t="n">
        <f aca="false">IF(OR(E12="",F12=""),"",F12-E12+1)</f>
        <v>8</v>
      </c>
      <c r="H12" s="14" t="s">
        <v>30</v>
      </c>
      <c r="I12" s="14" t="s">
        <v>39</v>
      </c>
      <c r="J12" s="11" t="s">
        <v>48</v>
      </c>
      <c r="K12" s="11" t="s">
        <v>49</v>
      </c>
    </row>
    <row r="13" customFormat="false" ht="41.25" hidden="false" customHeight="true" outlineLevel="0" collapsed="false">
      <c r="A13" s="7" t="n">
        <v>7</v>
      </c>
      <c r="B13" s="7" t="s">
        <v>33</v>
      </c>
      <c r="C13" s="7" t="s">
        <v>50</v>
      </c>
      <c r="D13" s="7" t="s">
        <v>35</v>
      </c>
      <c r="E13" s="8" t="n">
        <v>46336</v>
      </c>
      <c r="F13" s="8" t="n">
        <v>46343</v>
      </c>
      <c r="G13" s="9" t="n">
        <f aca="false">IF(OR(E13="",F13=""),"",F13-E13+1)</f>
        <v>8</v>
      </c>
      <c r="H13" s="10" t="s">
        <v>30</v>
      </c>
      <c r="I13" s="10" t="s">
        <v>39</v>
      </c>
      <c r="J13" s="7" t="s">
        <v>51</v>
      </c>
      <c r="K13" s="7" t="s">
        <v>52</v>
      </c>
    </row>
    <row r="14" customFormat="false" ht="54.75" hidden="false" customHeight="true" outlineLevel="0" collapsed="false">
      <c r="A14" s="11" t="n">
        <v>8</v>
      </c>
      <c r="B14" s="11" t="s">
        <v>53</v>
      </c>
      <c r="C14" s="11" t="s">
        <v>54</v>
      </c>
      <c r="D14" s="11" t="s">
        <v>55</v>
      </c>
      <c r="E14" s="12" t="n">
        <v>46343</v>
      </c>
      <c r="F14" s="12" t="n">
        <v>46347</v>
      </c>
      <c r="G14" s="13" t="n">
        <f aca="false">IF(OR(E14="",F14=""),"",F14-E14+1)</f>
        <v>5</v>
      </c>
      <c r="H14" s="14" t="s">
        <v>30</v>
      </c>
      <c r="I14" s="14" t="s">
        <v>24</v>
      </c>
      <c r="J14" s="11" t="s">
        <v>56</v>
      </c>
      <c r="K14" s="11" t="s">
        <v>57</v>
      </c>
    </row>
    <row r="15" customFormat="false" ht="54.75" hidden="false" customHeight="true" outlineLevel="0" collapsed="false">
      <c r="A15" s="7" t="n">
        <v>9</v>
      </c>
      <c r="B15" s="7" t="s">
        <v>53</v>
      </c>
      <c r="C15" s="7" t="s">
        <v>58</v>
      </c>
      <c r="D15" s="7" t="s">
        <v>29</v>
      </c>
      <c r="E15" s="8" t="n">
        <v>46343</v>
      </c>
      <c r="F15" s="8" t="n">
        <v>46347</v>
      </c>
      <c r="G15" s="9" t="n">
        <f aca="false">IF(OR(E15="",F15=""),"",F15-E15+1)</f>
        <v>5</v>
      </c>
      <c r="H15" s="10" t="s">
        <v>30</v>
      </c>
      <c r="I15" s="10" t="s">
        <v>24</v>
      </c>
      <c r="J15" s="7" t="s">
        <v>59</v>
      </c>
      <c r="K15" s="7" t="s">
        <v>60</v>
      </c>
    </row>
    <row r="16" customFormat="false" ht="54.75" hidden="false" customHeight="true" outlineLevel="0" collapsed="false">
      <c r="A16" s="11" t="n">
        <v>10</v>
      </c>
      <c r="B16" s="11" t="s">
        <v>53</v>
      </c>
      <c r="C16" s="11" t="s">
        <v>61</v>
      </c>
      <c r="D16" s="11" t="s">
        <v>35</v>
      </c>
      <c r="E16" s="12" t="n">
        <v>46343</v>
      </c>
      <c r="F16" s="12" t="n">
        <v>46345</v>
      </c>
      <c r="G16" s="13" t="n">
        <f aca="false">IF(OR(E16="",F16=""),"",F16-E16+1)</f>
        <v>3</v>
      </c>
      <c r="H16" s="14" t="s">
        <v>30</v>
      </c>
      <c r="I16" s="14" t="s">
        <v>39</v>
      </c>
      <c r="J16" s="11" t="s">
        <v>62</v>
      </c>
      <c r="K16" s="11" t="s">
        <v>63</v>
      </c>
    </row>
    <row r="17" customFormat="false" ht="41.25" hidden="false" customHeight="true" outlineLevel="0" collapsed="false">
      <c r="A17" s="7" t="n">
        <v>11</v>
      </c>
      <c r="B17" s="7" t="s">
        <v>64</v>
      </c>
      <c r="C17" s="7" t="s">
        <v>65</v>
      </c>
      <c r="D17" s="7" t="s">
        <v>47</v>
      </c>
      <c r="E17" s="8" t="n">
        <v>46347</v>
      </c>
      <c r="F17" s="8" t="n">
        <v>46350</v>
      </c>
      <c r="G17" s="9" t="n">
        <f aca="false">IF(OR(E17="",F17=""),"",F17-E17+1)</f>
        <v>4</v>
      </c>
      <c r="H17" s="10" t="s">
        <v>30</v>
      </c>
      <c r="I17" s="10" t="s">
        <v>24</v>
      </c>
      <c r="J17" s="7" t="s">
        <v>66</v>
      </c>
      <c r="K17" s="7"/>
    </row>
    <row r="18" customFormat="false" ht="41.25" hidden="false" customHeight="true" outlineLevel="0" collapsed="false">
      <c r="A18" s="11" t="n">
        <v>12</v>
      </c>
      <c r="B18" s="11" t="s">
        <v>64</v>
      </c>
      <c r="C18" s="11" t="s">
        <v>67</v>
      </c>
      <c r="D18" s="11" t="s">
        <v>29</v>
      </c>
      <c r="E18" s="12" t="n">
        <v>46350</v>
      </c>
      <c r="F18" s="12" t="n">
        <v>46352</v>
      </c>
      <c r="G18" s="13" t="n">
        <f aca="false">IF(OR(E18="",F18=""),"",F18-E18+1)</f>
        <v>3</v>
      </c>
      <c r="H18" s="14" t="s">
        <v>30</v>
      </c>
      <c r="I18" s="14" t="s">
        <v>39</v>
      </c>
      <c r="J18" s="11" t="s">
        <v>68</v>
      </c>
      <c r="K18" s="11" t="s">
        <v>69</v>
      </c>
    </row>
    <row r="19" customFormat="false" ht="41.25" hidden="false" customHeight="true" outlineLevel="0" collapsed="false">
      <c r="A19" s="7" t="n">
        <v>13</v>
      </c>
      <c r="B19" s="7" t="s">
        <v>70</v>
      </c>
      <c r="C19" s="7" t="s">
        <v>71</v>
      </c>
      <c r="D19" s="7" t="s">
        <v>22</v>
      </c>
      <c r="E19" s="8" t="n">
        <v>46343</v>
      </c>
      <c r="F19" s="8" t="n">
        <v>46352</v>
      </c>
      <c r="G19" s="9" t="n">
        <f aca="false">IF(OR(E19="",F19=""),"",F19-E19+1)</f>
        <v>10</v>
      </c>
      <c r="H19" s="10" t="s">
        <v>30</v>
      </c>
      <c r="I19" s="10" t="s">
        <v>24</v>
      </c>
      <c r="J19" s="7" t="s">
        <v>72</v>
      </c>
      <c r="K19" s="7" t="s">
        <v>73</v>
      </c>
    </row>
    <row r="20" customFormat="false" ht="27.75" hidden="false" customHeight="true" outlineLevel="0" collapsed="false">
      <c r="A20" s="11" t="n">
        <v>14</v>
      </c>
      <c r="B20" s="11" t="s">
        <v>70</v>
      </c>
      <c r="C20" s="11" t="s">
        <v>74</v>
      </c>
      <c r="D20" s="11" t="s">
        <v>22</v>
      </c>
      <c r="E20" s="12" t="n">
        <v>46353</v>
      </c>
      <c r="F20" s="12" t="n">
        <v>46354</v>
      </c>
      <c r="G20" s="13" t="n">
        <f aca="false">IF(OR(E20="",F20=""),"",F20-E20+1)</f>
        <v>2</v>
      </c>
      <c r="H20" s="14" t="s">
        <v>30</v>
      </c>
      <c r="I20" s="14" t="s">
        <v>24</v>
      </c>
      <c r="J20" s="11" t="s">
        <v>75</v>
      </c>
      <c r="K20" s="11"/>
    </row>
    <row r="21" customFormat="false" ht="15" hidden="false" customHeight="true" outlineLevel="0" collapsed="false">
      <c r="A21" s="7" t="n">
        <v>15</v>
      </c>
      <c r="B21" s="7"/>
      <c r="C21" s="7"/>
      <c r="D21" s="7"/>
      <c r="E21" s="8"/>
      <c r="F21" s="8"/>
      <c r="G21" s="9" t="str">
        <f aca="false">IF(OR(E21="",F21=""),"",F21-E21+1)</f>
        <v/>
      </c>
      <c r="H21" s="10"/>
      <c r="I21" s="10"/>
      <c r="J21" s="7"/>
      <c r="K21" s="7"/>
    </row>
    <row r="22" customFormat="false" ht="15" hidden="false" customHeight="true" outlineLevel="0" collapsed="false">
      <c r="A22" s="11" t="n">
        <v>16</v>
      </c>
      <c r="B22" s="11"/>
      <c r="C22" s="11"/>
      <c r="D22" s="11"/>
      <c r="E22" s="12"/>
      <c r="F22" s="12"/>
      <c r="G22" s="13" t="str">
        <f aca="false">IF(OR(E22="",F22=""),"",F22-E22+1)</f>
        <v/>
      </c>
      <c r="H22" s="14"/>
      <c r="I22" s="14"/>
      <c r="J22" s="11"/>
      <c r="K22" s="11"/>
    </row>
    <row r="23" customFormat="false" ht="15" hidden="false" customHeight="true" outlineLevel="0" collapsed="false">
      <c r="A23" s="7" t="n">
        <v>17</v>
      </c>
      <c r="B23" s="7"/>
      <c r="C23" s="7"/>
      <c r="D23" s="7"/>
      <c r="E23" s="8"/>
      <c r="F23" s="8"/>
      <c r="G23" s="9" t="str">
        <f aca="false">IF(OR(E23="",F23=""),"",F23-E23+1)</f>
        <v/>
      </c>
      <c r="H23" s="10"/>
      <c r="I23" s="10"/>
      <c r="J23" s="7"/>
      <c r="K23" s="7"/>
    </row>
    <row r="24" customFormat="false" ht="15" hidden="false" customHeight="true" outlineLevel="0" collapsed="false">
      <c r="A24" s="11" t="n">
        <v>18</v>
      </c>
      <c r="B24" s="11"/>
      <c r="C24" s="11"/>
      <c r="D24" s="11"/>
      <c r="E24" s="12"/>
      <c r="F24" s="12"/>
      <c r="G24" s="13" t="str">
        <f aca="false">IF(OR(E24="",F24=""),"",F24-E24+1)</f>
        <v/>
      </c>
      <c r="H24" s="14"/>
      <c r="I24" s="14"/>
      <c r="J24" s="11"/>
      <c r="K24" s="11"/>
    </row>
    <row r="25" customFormat="false" ht="15" hidden="false" customHeight="true" outlineLevel="0" collapsed="false">
      <c r="A25" s="7" t="n">
        <v>19</v>
      </c>
      <c r="B25" s="7"/>
      <c r="C25" s="7"/>
      <c r="D25" s="7"/>
      <c r="E25" s="8"/>
      <c r="F25" s="8"/>
      <c r="G25" s="9" t="str">
        <f aca="false">IF(OR(E25="",F25=""),"",F25-E25+1)</f>
        <v/>
      </c>
      <c r="H25" s="10"/>
      <c r="I25" s="10"/>
      <c r="J25" s="7"/>
      <c r="K25" s="7"/>
    </row>
    <row r="26" customFormat="false" ht="15" hidden="false" customHeight="true" outlineLevel="0" collapsed="false">
      <c r="A26" s="11" t="n">
        <v>20</v>
      </c>
      <c r="B26" s="11"/>
      <c r="C26" s="11"/>
      <c r="D26" s="11"/>
      <c r="E26" s="12"/>
      <c r="F26" s="12"/>
      <c r="G26" s="13" t="str">
        <f aca="false">IF(OR(E26="",F26=""),"",F26-E26+1)</f>
        <v/>
      </c>
      <c r="H26" s="14"/>
      <c r="I26" s="14"/>
      <c r="J26" s="11"/>
      <c r="K26" s="11"/>
    </row>
    <row r="27" customFormat="false" ht="15" hidden="false" customHeight="true" outlineLevel="0" collapsed="false">
      <c r="A27" s="7" t="n">
        <v>21</v>
      </c>
      <c r="B27" s="7"/>
      <c r="C27" s="7"/>
      <c r="D27" s="7"/>
      <c r="E27" s="8"/>
      <c r="F27" s="8"/>
      <c r="G27" s="9" t="str">
        <f aca="false">IF(OR(E27="",F27=""),"",F27-E27+1)</f>
        <v/>
      </c>
      <c r="H27" s="10"/>
      <c r="I27" s="10"/>
      <c r="J27" s="7"/>
      <c r="K27" s="7"/>
    </row>
    <row r="28" customFormat="false" ht="15" hidden="false" customHeight="true" outlineLevel="0" collapsed="false">
      <c r="A28" s="11" t="n">
        <v>22</v>
      </c>
      <c r="B28" s="11"/>
      <c r="C28" s="11"/>
      <c r="D28" s="11"/>
      <c r="E28" s="12"/>
      <c r="F28" s="12"/>
      <c r="G28" s="13" t="str">
        <f aca="false">IF(OR(E28="",F28=""),"",F28-E28+1)</f>
        <v/>
      </c>
      <c r="H28" s="14"/>
      <c r="I28" s="14"/>
      <c r="J28" s="11"/>
      <c r="K28" s="11"/>
    </row>
    <row r="29" customFormat="false" ht="15" hidden="false" customHeight="true" outlineLevel="0" collapsed="false">
      <c r="A29" s="7" t="n">
        <v>23</v>
      </c>
      <c r="B29" s="7"/>
      <c r="C29" s="7"/>
      <c r="D29" s="7"/>
      <c r="E29" s="8"/>
      <c r="F29" s="8"/>
      <c r="G29" s="9" t="str">
        <f aca="false">IF(OR(E29="",F29=""),"",F29-E29+1)</f>
        <v/>
      </c>
      <c r="H29" s="10"/>
      <c r="I29" s="10"/>
      <c r="J29" s="7"/>
      <c r="K29" s="7"/>
    </row>
    <row r="30" customFormat="false" ht="15" hidden="false" customHeight="true" outlineLevel="0" collapsed="false">
      <c r="A30" s="11" t="n">
        <v>24</v>
      </c>
      <c r="B30" s="11"/>
      <c r="C30" s="11"/>
      <c r="D30" s="11"/>
      <c r="E30" s="12"/>
      <c r="F30" s="12"/>
      <c r="G30" s="13" t="str">
        <f aca="false">IF(OR(E30="",F30=""),"",F30-E30+1)</f>
        <v/>
      </c>
      <c r="H30" s="14"/>
      <c r="I30" s="14"/>
      <c r="J30" s="11"/>
      <c r="K30" s="11"/>
    </row>
    <row r="31" customFormat="false" ht="15" hidden="false" customHeight="true" outlineLevel="0" collapsed="false">
      <c r="A31" s="7" t="n">
        <v>25</v>
      </c>
      <c r="B31" s="7"/>
      <c r="C31" s="7"/>
      <c r="D31" s="7"/>
      <c r="E31" s="8"/>
      <c r="F31" s="8"/>
      <c r="G31" s="9" t="str">
        <f aca="false">IF(OR(E31="",F31=""),"",F31-E31+1)</f>
        <v/>
      </c>
      <c r="H31" s="10"/>
      <c r="I31" s="10"/>
      <c r="J31" s="7"/>
      <c r="K31" s="7"/>
    </row>
    <row r="32" customFormat="false" ht="15" hidden="false" customHeight="true" outlineLevel="0" collapsed="false">
      <c r="A32" s="11" t="n">
        <v>26</v>
      </c>
      <c r="B32" s="11"/>
      <c r="C32" s="11"/>
      <c r="D32" s="11"/>
      <c r="E32" s="12"/>
      <c r="F32" s="12"/>
      <c r="G32" s="13" t="str">
        <f aca="false">IF(OR(E32="",F32=""),"",F32-E32+1)</f>
        <v/>
      </c>
      <c r="H32" s="14"/>
      <c r="I32" s="14"/>
      <c r="J32" s="11"/>
      <c r="K32" s="11"/>
    </row>
    <row r="33" customFormat="false" ht="15" hidden="false" customHeight="true" outlineLevel="0" collapsed="false">
      <c r="A33" s="7" t="n">
        <v>27</v>
      </c>
      <c r="B33" s="7"/>
      <c r="C33" s="7"/>
      <c r="D33" s="7"/>
      <c r="E33" s="8"/>
      <c r="F33" s="8"/>
      <c r="G33" s="9" t="str">
        <f aca="false">IF(OR(E33="",F33=""),"",F33-E33+1)</f>
        <v/>
      </c>
      <c r="H33" s="10"/>
      <c r="I33" s="10"/>
      <c r="J33" s="7"/>
      <c r="K33" s="7"/>
    </row>
    <row r="34" customFormat="false" ht="15" hidden="false" customHeight="true" outlineLevel="0" collapsed="false">
      <c r="A34" s="11" t="n">
        <v>28</v>
      </c>
      <c r="B34" s="11"/>
      <c r="C34" s="11"/>
      <c r="D34" s="11"/>
      <c r="E34" s="12"/>
      <c r="F34" s="12"/>
      <c r="G34" s="13" t="str">
        <f aca="false">IF(OR(E34="",F34=""),"",F34-E34+1)</f>
        <v/>
      </c>
      <c r="H34" s="14"/>
      <c r="I34" s="14"/>
      <c r="J34" s="11"/>
      <c r="K34" s="11"/>
    </row>
    <row r="35" customFormat="false" ht="15" hidden="false" customHeight="true" outlineLevel="0" collapsed="false">
      <c r="A35" s="7" t="n">
        <v>29</v>
      </c>
      <c r="B35" s="7"/>
      <c r="C35" s="7"/>
      <c r="D35" s="7"/>
      <c r="E35" s="8"/>
      <c r="F35" s="8"/>
      <c r="G35" s="9" t="str">
        <f aca="false">IF(OR(E35="",F35=""),"",F35-E35+1)</f>
        <v/>
      </c>
      <c r="H35" s="10"/>
      <c r="I35" s="10"/>
      <c r="J35" s="7"/>
      <c r="K35" s="7"/>
    </row>
    <row r="36" customFormat="false" ht="15" hidden="false" customHeight="true" outlineLevel="0" collapsed="false">
      <c r="A36" s="11" t="n">
        <v>30</v>
      </c>
      <c r="B36" s="11"/>
      <c r="C36" s="11"/>
      <c r="D36" s="11"/>
      <c r="E36" s="12"/>
      <c r="F36" s="12"/>
      <c r="G36" s="13" t="str">
        <f aca="false">IF(OR(E36="",F36=""),"",F36-E36+1)</f>
        <v/>
      </c>
      <c r="H36" s="14"/>
      <c r="I36" s="14"/>
      <c r="J36" s="11"/>
      <c r="K36" s="11"/>
    </row>
    <row r="39" customFormat="false" ht="27.75" hidden="false" customHeight="true" outlineLevel="0" collapsed="false">
      <c r="A39" s="15" t="s">
        <v>76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</row>
  </sheetData>
  <autoFilter ref="A6:K36"/>
  <mergeCells count="7">
    <mergeCell ref="A1:N1"/>
    <mergeCell ref="B3:F3"/>
    <mergeCell ref="H3:N3"/>
    <mergeCell ref="B4:D4"/>
    <mergeCell ref="F4:H4"/>
    <mergeCell ref="J4:N4"/>
    <mergeCell ref="A39:K39"/>
  </mergeCells>
  <conditionalFormatting sqref="H7:H36">
    <cfRule type="cellIs" priority="2" operator="equal" aboveAverage="0" equalAverage="0" bottom="0" percent="0" rank="0" text="" dxfId="6">
      <formula>"Completada"</formula>
    </cfRule>
    <cfRule type="cellIs" priority="3" operator="equal" aboveAverage="0" equalAverage="0" bottom="0" percent="0" rank="0" text="" dxfId="7">
      <formula>"Retrasada"</formula>
    </cfRule>
    <cfRule type="cellIs" priority="4" operator="equal" aboveAverage="0" equalAverage="0" bottom="0" percent="0" rank="0" text="" dxfId="8">
      <formula>"En curso"</formula>
    </cfRule>
  </conditionalFormatting>
  <dataValidations count="2">
    <dataValidation allowBlank="true" errorStyle="stop" operator="between" showDropDown="false" showErrorMessage="false" showInputMessage="false" sqref="H7:H36" type="list">
      <formula1>"Pendiente,En curso,En revisión,Completada,Retrasada"</formula1>
      <formula2>0</formula2>
    </dataValidation>
    <dataValidation allowBlank="true" errorStyle="stop" operator="between" showDropDown="false" showErrorMessage="false" showInputMessage="false" sqref="I7:I36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18" min="3" style="1" width="12"/>
  </cols>
  <sheetData>
    <row r="1" customFormat="false" ht="18" hidden="false" customHeight="true" outlineLevel="0" collapsed="false">
      <c r="A1" s="16" t="s">
        <v>77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3" customFormat="false" ht="15" hidden="false" customHeight="true" outlineLevel="0" collapsed="false">
      <c r="A3" s="17" t="s">
        <v>11</v>
      </c>
      <c r="B3" s="17" t="s">
        <v>12</v>
      </c>
      <c r="C3" s="18" t="s">
        <v>78</v>
      </c>
      <c r="D3" s="19" t="s">
        <v>79</v>
      </c>
      <c r="E3" s="19" t="s">
        <v>80</v>
      </c>
      <c r="F3" s="19" t="s">
        <v>81</v>
      </c>
      <c r="G3" s="19" t="s">
        <v>82</v>
      </c>
      <c r="H3" s="19" t="s">
        <v>83</v>
      </c>
      <c r="I3" s="19" t="s">
        <v>84</v>
      </c>
      <c r="J3" s="19" t="s">
        <v>85</v>
      </c>
      <c r="K3" s="19" t="s">
        <v>86</v>
      </c>
      <c r="L3" s="19" t="s">
        <v>87</v>
      </c>
      <c r="M3" s="19" t="s">
        <v>88</v>
      </c>
      <c r="N3" s="19" t="s">
        <v>89</v>
      </c>
      <c r="O3" s="19" t="s">
        <v>90</v>
      </c>
      <c r="P3" s="19" t="s">
        <v>91</v>
      </c>
      <c r="Q3" s="19" t="s">
        <v>92</v>
      </c>
      <c r="R3" s="19" t="s">
        <v>93</v>
      </c>
    </row>
    <row r="4" customFormat="false" ht="41.25" hidden="false" customHeight="true" outlineLevel="0" collapsed="false">
      <c r="A4" s="20" t="str">
        <f aca="false">IF(Cronograma!C7="","",Cronograma!C7)</f>
        <v>Actividad 4: modelado de la red neuronal, estado del arte, presupuesto y cronograma</v>
      </c>
      <c r="B4" s="20" t="str">
        <f aca="false">IF(Cronograma!D7="","",Cronograma!D7)</f>
        <v>Los tres integrantes</v>
      </c>
      <c r="C4" s="21" t="s">
        <v>94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customFormat="false" ht="41.25" hidden="false" customHeight="true" outlineLevel="0" collapsed="false">
      <c r="A5" s="23" t="str">
        <f aca="false">IF(Cronograma!C8="","",Cronograma!C8)</f>
        <v>Ajuste del modelo de datos: columna riesgo_cancelacion, perfil CLIENTE y vistas de historial para la IA (script 07)</v>
      </c>
      <c r="B5" s="23" t="str">
        <f aca="false">IF(Cronograma!D8="","",Cronograma!D8)</f>
        <v>Jonathan Soler</v>
      </c>
      <c r="C5" s="24" t="s">
        <v>94</v>
      </c>
      <c r="D5" s="24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customFormat="false" ht="54.75" hidden="false" customHeight="true" outlineLevel="0" collapsed="false">
      <c r="A6" s="20" t="str">
        <f aca="false">IF(Cronograma!C9="","",Cronograma!C9)</f>
        <v>Conexión de la app móvil a la API: inicio de sesión con token, disponibilidad y confirmación de reserva</v>
      </c>
      <c r="B6" s="20" t="str">
        <f aca="false">IF(Cronograma!D9="","",Cronograma!D9)</f>
        <v>Gustavo Cardona</v>
      </c>
      <c r="C6" s="21" t="s">
        <v>94</v>
      </c>
      <c r="D6" s="21" t="s">
        <v>94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</row>
    <row r="7" customFormat="false" ht="41.25" hidden="false" customHeight="true" outlineLevel="0" collapsed="false">
      <c r="A7" s="23" t="str">
        <f aca="false">IF(Cronograma!C10="","",Cronograma!C10)</f>
        <v>Administración de habitaciones, tarifas y usuarios en la API con autorización por rol</v>
      </c>
      <c r="B7" s="23" t="str">
        <f aca="false">IF(Cronograma!D10="","",Cronograma!D10)</f>
        <v>Jonathan Soler</v>
      </c>
      <c r="C7" s="24" t="s">
        <v>94</v>
      </c>
      <c r="D7" s="24" t="s">
        <v>94</v>
      </c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</row>
    <row r="8" customFormat="false" ht="68.25" hidden="false" customHeight="true" outlineLevel="0" collapsed="false">
      <c r="A8" s="20" t="str">
        <f aca="false">IF(Cronograma!C11="","",Cronograma!C11)</f>
        <v>Servicio inteligente TensorFlow/FastAPI: entrenamiento de los modelos de cancelación y ocupación, API y puente /api/prediccion</v>
      </c>
      <c r="B8" s="20" t="str">
        <f aca="false">IF(Cronograma!D11="","",Cronograma!D11)</f>
        <v>Gustavo Cardona</v>
      </c>
      <c r="C8" s="21" t="s">
        <v>94</v>
      </c>
      <c r="D8" s="21" t="s">
        <v>94</v>
      </c>
      <c r="E8" s="21" t="s">
        <v>94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</row>
    <row r="9" customFormat="false" ht="54.75" hidden="false" customHeight="true" outlineLevel="0" collapsed="false">
      <c r="A9" s="23" t="str">
        <f aca="false">IF(Cronograma!C12="","",Cronograma!C12)</f>
        <v>Notificaciones de confirmación por correo (hotelreservas2026@gmail.com) y WhatsApp desde la API</v>
      </c>
      <c r="B9" s="23" t="str">
        <f aca="false">IF(Cronograma!D12="","",Cronograma!D12)</f>
        <v>Hugo Forero</v>
      </c>
      <c r="C9" s="25"/>
      <c r="D9" s="24" t="s">
        <v>94</v>
      </c>
      <c r="E9" s="24" t="s">
        <v>94</v>
      </c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customFormat="false" ht="41.25" hidden="false" customHeight="true" outlineLevel="0" collapsed="false">
      <c r="A10" s="20" t="str">
        <f aca="false">IF(Cronograma!C13="","",Cronograma!C13)</f>
        <v>Reentrenamiento de los modelos con el historial real exportado desde las vistas de SQL Server</v>
      </c>
      <c r="B10" s="20" t="str">
        <f aca="false">IF(Cronograma!D13="","",Cronograma!D13)</f>
        <v>Gustavo Cardona</v>
      </c>
      <c r="C10" s="22"/>
      <c r="D10" s="22"/>
      <c r="E10" s="21" t="s">
        <v>94</v>
      </c>
      <c r="F10" s="21" t="s">
        <v>94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</row>
    <row r="11" customFormat="false" ht="54.75" hidden="false" customHeight="true" outlineLevel="0" collapsed="false">
      <c r="A11" s="23" t="str">
        <f aca="false">IF(Cronograma!C14="","",Cronograma!C14)</f>
        <v>Pruebas de aceptación de los requerimientos no funcionales con métrica y procedimiento (RNF01 a RNF05)</v>
      </c>
      <c r="B11" s="23" t="str">
        <f aca="false">IF(Cronograma!D14="","",Cronograma!D14)</f>
        <v>Jonathan Soler y Hugo Forero</v>
      </c>
      <c r="C11" s="25"/>
      <c r="D11" s="25"/>
      <c r="E11" s="25"/>
      <c r="F11" s="24" t="s">
        <v>94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customFormat="false" ht="41.25" hidden="false" customHeight="true" outlineLevel="0" collapsed="false">
      <c r="A12" s="20" t="str">
        <f aca="false">IF(Cronograma!C15="","",Cronograma!C15)</f>
        <v>Prueba de concurrencia con dos sesiones sobre la última habitación (HTTP 409) y evidencias de API y SQL</v>
      </c>
      <c r="B12" s="20" t="str">
        <f aca="false">IF(Cronograma!D15="","",Cronograma!D15)</f>
        <v>Jonathan Soler</v>
      </c>
      <c r="C12" s="22"/>
      <c r="D12" s="22"/>
      <c r="E12" s="22"/>
      <c r="F12" s="21" t="s">
        <v>94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</row>
    <row r="13" customFormat="false" ht="54.75" hidden="false" customHeight="true" outlineLevel="0" collapsed="false">
      <c r="A13" s="23" t="str">
        <f aca="false">IF(Cronograma!C16="","",Cronograma!C16)</f>
        <v>Pruebas automáticas del servicio inteligente (probar_api.py) y validación de las métricas MAE, RMSE, R², precisión y sensibilidad</v>
      </c>
      <c r="B13" s="23" t="str">
        <f aca="false">IF(Cronograma!D16="","",Cronograma!D16)</f>
        <v>Gustavo Cardona</v>
      </c>
      <c r="C13" s="25"/>
      <c r="D13" s="25"/>
      <c r="E13" s="25"/>
      <c r="F13" s="24" t="s">
        <v>94</v>
      </c>
      <c r="G13" s="24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customFormat="false" ht="41.25" hidden="false" customHeight="true" outlineLevel="0" collapsed="false">
      <c r="A14" s="20" t="str">
        <f aca="false">IF(Cronograma!C17="","",Cronograma!C17)</f>
        <v>Generación de la APK firmada e instalación en los dispositivos de prueba</v>
      </c>
      <c r="B14" s="20" t="str">
        <f aca="false">IF(Cronograma!D17="","",Cronograma!D17)</f>
        <v>Hugo Forero</v>
      </c>
      <c r="C14" s="22"/>
      <c r="D14" s="22"/>
      <c r="E14" s="22"/>
      <c r="F14" s="21" t="s">
        <v>94</v>
      </c>
      <c r="G14" s="21" t="s">
        <v>94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</row>
    <row r="15" customFormat="false" ht="41.25" hidden="false" customHeight="true" outlineLevel="0" collapsed="false">
      <c r="A15" s="23" t="str">
        <f aca="false">IF(Cronograma!C18="","",Cronograma!C18)</f>
        <v>Despliegue local de la API, la base de datos y el servicio inteligente para la sustentación</v>
      </c>
      <c r="B15" s="23" t="str">
        <f aca="false">IF(Cronograma!D18="","",Cronograma!D18)</f>
        <v>Jonathan Soler</v>
      </c>
      <c r="C15" s="25"/>
      <c r="D15" s="25"/>
      <c r="E15" s="25"/>
      <c r="F15" s="24"/>
      <c r="G15" s="24" t="s">
        <v>94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customFormat="false" ht="41.25" hidden="false" customHeight="true" outlineLevel="0" collapsed="false">
      <c r="A16" s="20" t="str">
        <f aca="false">IF(Cronograma!C19="","",Cronograma!C19)</f>
        <v>Documento maestro final, manual de usuario y actualización del repositorio en GitHub</v>
      </c>
      <c r="B16" s="20" t="str">
        <f aca="false">IF(Cronograma!D19="","",Cronograma!D19)</f>
        <v>Los tres integrantes</v>
      </c>
      <c r="C16" s="22"/>
      <c r="D16" s="22"/>
      <c r="E16" s="22"/>
      <c r="F16" s="21" t="s">
        <v>94</v>
      </c>
      <c r="G16" s="21" t="s">
        <v>94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customFormat="false" ht="15" hidden="false" customHeight="true" outlineLevel="0" collapsed="false">
      <c r="A17" s="23" t="str">
        <f aca="false">IF(Cronograma!C20="","",Cronograma!C20)</f>
        <v>Sustentación final del proyecto</v>
      </c>
      <c r="B17" s="23" t="str">
        <f aca="false">IF(Cronograma!D20="","",Cronograma!D20)</f>
        <v>Los tres integrantes</v>
      </c>
      <c r="C17" s="25"/>
      <c r="D17" s="25"/>
      <c r="E17" s="25"/>
      <c r="F17" s="25"/>
      <c r="G17" s="24" t="s">
        <v>94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customFormat="false" ht="15" hidden="false" customHeight="true" outlineLevel="0" collapsed="false">
      <c r="A18" s="20" t="str">
        <f aca="false">IF(Cronograma!C21="","",Cronograma!C21)</f>
        <v/>
      </c>
      <c r="B18" s="20" t="str">
        <f aca="false">IF(Cronograma!D21="","",Cronograma!D21)</f>
        <v/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customFormat="false" ht="15" hidden="false" customHeight="true" outlineLevel="0" collapsed="false">
      <c r="A19" s="23" t="str">
        <f aca="false">IF(Cronograma!C22="","",Cronograma!C22)</f>
        <v/>
      </c>
      <c r="B19" s="23" t="str">
        <f aca="false">IF(Cronograma!D22="","",Cronograma!D22)</f>
        <v/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customFormat="false" ht="15" hidden="false" customHeight="true" outlineLevel="0" collapsed="false">
      <c r="A20" s="20" t="str">
        <f aca="false">IF(Cronograma!C23="","",Cronograma!C23)</f>
        <v/>
      </c>
      <c r="B20" s="20" t="str">
        <f aca="false">IF(Cronograma!D23="","",Cronograma!D23)</f>
        <v/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customFormat="false" ht="15" hidden="false" customHeight="true" outlineLevel="0" collapsed="false">
      <c r="A21" s="23" t="str">
        <f aca="false">IF(Cronograma!C24="","",Cronograma!C24)</f>
        <v/>
      </c>
      <c r="B21" s="23" t="str">
        <f aca="false">IF(Cronograma!D24="","",Cronograma!D24)</f>
        <v/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customFormat="false" ht="15" hidden="false" customHeight="true" outlineLevel="0" collapsed="false">
      <c r="A22" s="20" t="str">
        <f aca="false">IF(Cronograma!C25="","",Cronograma!C25)</f>
        <v/>
      </c>
      <c r="B22" s="20" t="str">
        <f aca="false">IF(Cronograma!D25="","",Cronograma!D25)</f>
        <v/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customFormat="false" ht="15" hidden="false" customHeight="true" outlineLevel="0" collapsed="false">
      <c r="A23" s="23" t="str">
        <f aca="false">IF(Cronograma!C26="","",Cronograma!C26)</f>
        <v/>
      </c>
      <c r="B23" s="23" t="str">
        <f aca="false">IF(Cronograma!D26="","",Cronograma!D26)</f>
        <v/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5" customFormat="false" ht="27.75" hidden="false" customHeight="true" outlineLevel="0" collapsed="false">
      <c r="A25" s="15" t="s">
        <v>95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</row>
  </sheetData>
  <mergeCells count="2">
    <mergeCell ref="A1:W1"/>
    <mergeCell ref="A25:R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2026-10-29T00:50:44Z</dcterms:created>
  <dc:creator>openpyxl</dc:creator>
  <dc:description/>
  <dc:language>en-US</dc:language>
  <cp:lastModifiedBy/>
  <dcterms:modified xsi:type="dcterms:W3CDTF">2026-10-29T19:16:59Z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0x010100917BAEAA76D60F478C7372579CF822C0</vt:lpwstr>
  </property>
</Properties>
</file>